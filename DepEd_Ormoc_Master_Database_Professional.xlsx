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llying_Consolidated" sheetId="1" state="visible" r:id="rId3"/>
    <sheet name="Child_Abuse_Consolidated" sheetId="2" state="visible" r:id="rId4"/>
    <sheet name="Children_At_Risk" sheetId="3" state="visible" r:id="rId5"/>
    <sheet name="CICL_Cases" sheetId="4" state="visible" r:id="rId6"/>
    <sheet name="Other_LRP_Concer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<sst xmlns="http://schemas.openxmlformats.org/spreadsheetml/2006/main" count="255" uniqueCount="131">
  <si>
    <t xml:space="preserve">DEPED DIVISION OF ORMOC CITY — CONSOLIDATED REPORT ON BULLYING</t>
  </si>
  <si>
    <t xml:space="preserve">ANNEX A  |  School Year: 2025-2026  |  Generated: 8/23/2026  |  Status: Official Consolidated Master Database</t>
  </si>
  <si>
    <t xml:space="preserve">School ID</t>
  </si>
  <si>
    <t xml:space="preserve">School Name</t>
  </si>
  <si>
    <t xml:space="preserve">District</t>
  </si>
  <si>
    <t xml:space="preserve">School
Sector</t>
  </si>
  <si>
    <t xml:space="preserve">School
Level</t>
  </si>
  <si>
    <t xml:space="preserve">School Year</t>
  </si>
  <si>
    <t xml:space="preserve">Physical
Bullying (M)</t>
  </si>
  <si>
    <t xml:space="preserve">Physical
Bullying (F)</t>
  </si>
  <si>
    <t xml:space="preserve">Social
Bullying (M)</t>
  </si>
  <si>
    <t xml:space="preserve">Social
Bullying (F)</t>
  </si>
  <si>
    <t xml:space="preserve">Gender-based
Bullying (M)</t>
  </si>
  <si>
    <t xml:space="preserve">Gender-based
Bullying (F)</t>
  </si>
  <si>
    <t xml:space="preserve">Cyber-
bullying (M)</t>
  </si>
  <si>
    <t xml:space="preserve">Cyber-
bullying (F)</t>
  </si>
  <si>
    <t xml:space="preserve">Retaliation
Bullying (M)</t>
  </si>
  <si>
    <t xml:space="preserve">Retaliation
Bullying (F)</t>
  </si>
  <si>
    <t xml:space="preserve">Total Male
Victims</t>
  </si>
  <si>
    <t xml:space="preserve">Total Female
Victims</t>
  </si>
  <si>
    <t xml:space="preserve">Total
Incidents</t>
  </si>
  <si>
    <t xml:space="preserve">Resolved
Cases</t>
  </si>
  <si>
    <t xml:space="preserve">Cases for
Monitoring</t>
  </si>
  <si>
    <t xml:space="preserve">Referred
to Govt</t>
  </si>
  <si>
    <t xml:space="preserve">Referred
to NGO</t>
  </si>
  <si>
    <t xml:space="preserve">Actions Taken / Intervention</t>
  </si>
  <si>
    <t xml:space="preserve">Submitted By</t>
  </si>
  <si>
    <t xml:space="preserve">Validated By</t>
  </si>
  <si>
    <t xml:space="preserve">Date Submitted</t>
  </si>
  <si>
    <t xml:space="preserve">121780</t>
  </si>
  <si>
    <t xml:space="preserve">Ipil Central School</t>
  </si>
  <si>
    <t xml:space="preserve">—</t>
  </si>
  <si>
    <t xml:space="preserve">Public</t>
  </si>
  <si>
    <t xml:space="preserve">Elementary</t>
  </si>
  <si>
    <t xml:space="preserve">2025-2026</t>
  </si>
  <si>
    <t xml:space="preserve">A-1: Parent conference conducted, guidance counseling session completed, behavioral agreement signed. A-2: Peer mediation facilitated by class adviser; positive socialization buddy system assigned.</t>
  </si>
  <si>
    <t xml:space="preserve">Renne Co</t>
  </si>
  <si>
    <t xml:space="preserve">Elena Bautista</t>
  </si>
  <si>
    <t xml:space="preserve">2026-03-12</t>
  </si>
  <si>
    <t xml:space="preserve">121785</t>
  </si>
  <si>
    <t xml:space="preserve">Ormoc City Central School</t>
  </si>
  <si>
    <t xml:space="preserve">A-1: Restorative justice circle conducted with both parents; weekly monitoring initiated. A-4: Digital safety workshop given to Section Mabini; social media accounts de-escalation mediated.</t>
  </si>
  <si>
    <t xml:space="preserve">Carla Mendez</t>
  </si>
  <si>
    <t xml:space="preserve">Dr. Roberto Tan</t>
  </si>
  <si>
    <t xml:space="preserve">2026-03-14</t>
  </si>
  <si>
    <t xml:space="preserve">303590</t>
  </si>
  <si>
    <t xml:space="preserve">Ormoc City National High School</t>
  </si>
  <si>
    <t xml:space="preserve">Secondary</t>
  </si>
  <si>
    <t xml:space="preserve">A-3: Safe Spaces Act awareness session; sensitivity training conducted for Grade 9 student leaders. A-4: Group chat cyber-ridicule resolved via mediation with cyber-safety contract signed.</t>
  </si>
  <si>
    <t xml:space="preserve">Ferdinand Marcos Jr.</t>
  </si>
  <si>
    <t xml:space="preserve">Dr. Clarita Carlos</t>
  </si>
  <si>
    <t xml:space="preserve">2026-03-18</t>
  </si>
  <si>
    <t xml:space="preserve">404501</t>
  </si>
  <si>
    <t xml:space="preserve">San Lorenzo Ruiz Academy of Ormoc</t>
  </si>
  <si>
    <t xml:space="preserve">Private</t>
  </si>
  <si>
    <t xml:space="preserve">A-1: Values education session on kindness; counseling with school chaplain &amp; parents. A-2: Classroom integration circle; social inclusion project led by student council.</t>
  </si>
  <si>
    <t xml:space="preserve">Sr. Mary Grace, OSB</t>
  </si>
  <si>
    <t xml:space="preserve">Fr. Jose Mercado</t>
  </si>
  <si>
    <t xml:space="preserve">2026-03-21</t>
  </si>
  <si>
    <t xml:space="preserve">404510</t>
  </si>
  <si>
    <t xml:space="preserve">St. Peter's College of Ormoc</t>
  </si>
  <si>
    <t xml:space="preserve">A-4: Cyber-ethics seminar conducted for JHS; social media conduct undertaking executed.</t>
  </si>
  <si>
    <t xml:space="preserve">Arthur Pendelton</t>
  </si>
  <si>
    <t xml:space="preserve">Dr. Rebecca Tan</t>
  </si>
  <si>
    <t xml:space="preserve">2026-03-22</t>
  </si>
  <si>
    <t xml:space="preserve">TOTAL</t>
  </si>
  <si>
    <t xml:space="preserve">ALL SCHOOLS CONSOLIDATED</t>
  </si>
  <si>
    <t xml:space="preserve">SUMMARY METRICS</t>
  </si>
  <si>
    <t xml:space="preserve">Metric</t>
  </si>
  <si>
    <t xml:space="preserve">Formula</t>
  </si>
  <si>
    <t xml:space="preserve">Value</t>
  </si>
  <si>
    <t xml:space="preserve">Total Schools</t>
  </si>
  <si>
    <t xml:space="preserve">Total Public Schools</t>
  </si>
  <si>
    <t xml:space="preserve">Total Private Schools</t>
  </si>
  <si>
    <t xml:space="preserve">Elementary Schools</t>
  </si>
  <si>
    <t xml:space="preserve">Secondary Schools</t>
  </si>
  <si>
    <t xml:space="preserve">Total Incidents (All Schools)</t>
  </si>
  <si>
    <t xml:space="preserve">Total Incidents – Private Schools</t>
  </si>
  <si>
    <t xml:space="preserve">Total Resolved – Private Schools</t>
  </si>
  <si>
    <t xml:space="preserve">Overall Resolution Rate</t>
  </si>
  <si>
    <t xml:space="preserve">DEPED DIVISION OF ORMOC CITY — CONSOLIDATED REPORT ON CHILD ABUSE</t>
  </si>
  <si>
    <t xml:space="preserve">ANNEX B  |  School Year: 2025-2026  |  Generated: 8/23/2026  |  Status: Official Consolidated Master Database</t>
  </si>
  <si>
    <t xml:space="preserve">Physical
Abuse</t>
  </si>
  <si>
    <t xml:space="preserve">Sexual
Abuse</t>
  </si>
  <si>
    <t xml:space="preserve">Psychological
Abuse</t>
  </si>
  <si>
    <t xml:space="preserve">Neglect</t>
  </si>
  <si>
    <t xml:space="preserve">Commercial
Exploitation</t>
  </si>
  <si>
    <t xml:space="preserve">Actions Taken</t>
  </si>
  <si>
    <t xml:space="preserve">121790</t>
  </si>
  <si>
    <t xml:space="preserve">Ormoc Test Pilot School</t>
  </si>
  <si>
    <t xml:space="preserve">Coordinated with Barangay Child Protection Council (BCPC) and CSWDO for child psycho-social support.</t>
  </si>
  <si>
    <t xml:space="preserve">Manuel Roxas</t>
  </si>
  <si>
    <t xml:space="preserve">Teresa Magbanua</t>
  </si>
  <si>
    <t xml:space="preserve">2026-03-15</t>
  </si>
  <si>
    <t xml:space="preserve">404520</t>
  </si>
  <si>
    <t xml:space="preserve">Western Leyte College of Ormoc</t>
  </si>
  <si>
    <t xml:space="preserve">Institutional mediation conducted with parents and student welfare officer; behavioral covenant completed.</t>
  </si>
  <si>
    <t xml:space="preserve">Patricia Gomez</t>
  </si>
  <si>
    <t xml:space="preserve">Atty. Benjamin Cruz</t>
  </si>
  <si>
    <t xml:space="preserve">2026-03-23</t>
  </si>
  <si>
    <t xml:space="preserve">DEPED DIVISION OF ORMOC CITY — CHILDREN AT RISK REGISTRY</t>
  </si>
  <si>
    <t xml:space="preserve">ANNEX C  |  School Year: 2025-2026  |  Generated: 8/23/2026  |  Status: Official Consolidated Master Database</t>
  </si>
  <si>
    <t xml:space="preserve">Children at
Risk Total</t>
  </si>
  <si>
    <t xml:space="preserve">Interventions Provided</t>
  </si>
  <si>
    <t xml:space="preserve">121800</t>
  </si>
  <si>
    <t xml:space="preserve">San Pedro Elementary School</t>
  </si>
  <si>
    <t xml:space="preserve">Identified learners at risk of dropping out due to distance and financial distress enrolled in feeding program.</t>
  </si>
  <si>
    <t xml:space="preserve">Liza Macaraeg</t>
  </si>
  <si>
    <t xml:space="preserve">Gerardo Santos</t>
  </si>
  <si>
    <t xml:space="preserve">2026-03-16</t>
  </si>
  <si>
    <t xml:space="preserve">DEPED DIVISION OF ORMOC CITY — CONSOLIDATED CICL REPORT</t>
  </si>
  <si>
    <t xml:space="preserve">ANNEX D  |  School Year: 2025-2026  |  Generated: 8/23/2026  |  Status: Official Consolidated Master Database</t>
  </si>
  <si>
    <t xml:space="preserve">CICL Cases
Total</t>
  </si>
  <si>
    <t xml:space="preserve">Offenses
Documented</t>
  </si>
  <si>
    <t xml:space="preserve">Intervention / Diversion</t>
  </si>
  <si>
    <t xml:space="preserve">303600</t>
  </si>
  <si>
    <t xml:space="preserve">Linao National High School</t>
  </si>
  <si>
    <t xml:space="preserve">Learners underwent peer diversion mediation program with continuous guidance monitoring.</t>
  </si>
  <si>
    <t xml:space="preserve">Rodrigo Duterte</t>
  </si>
  <si>
    <t xml:space="preserve">Sara Zimmerman</t>
  </si>
  <si>
    <t xml:space="preserve">2026-03-19</t>
  </si>
  <si>
    <t xml:space="preserve">DEPED DIVISION OF ORMOC CITY — OTHER LEARNER RIGHTS CONCERNS</t>
  </si>
  <si>
    <t xml:space="preserve">ANNEX E  |  School Year: 2025-2026  |  Generated: 8/23/2026  |  Status: Official Consolidated Master Database</t>
  </si>
  <si>
    <t xml:space="preserve">Special
Concerns Count</t>
  </si>
  <si>
    <t xml:space="preserve">Details &amp; Interventions</t>
  </si>
  <si>
    <t xml:space="preserve">303610</t>
  </si>
  <si>
    <t xml:space="preserve">Valencia National High School</t>
  </si>
  <si>
    <t xml:space="preserve">Institutional LRP compliance recorded.</t>
  </si>
  <si>
    <t xml:space="preserve">Vicente Sotto</t>
  </si>
  <si>
    <t xml:space="preserve">Corazon Aquino</t>
  </si>
  <si>
    <t xml:space="preserve">2026-03-20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</si>
</sst>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BF4FB"/>
        <bgColor rgb="FFFFFFFF"/>
      </patternFill>
    </fill>
    <fill>
      <patternFill patternType="solid">
        <fgColor rgb="FFD6E4F0"/>
        <bgColor rgb="FFEBF4FB"/>
      </patternFill>
    </fill>
    <fill>
      <patternFill patternType="solid">
        <fgColor rgb="FFFFFFFF"/>
        <bgColor rgb="FFEBF4FB"/>
      </patternFill>
    </fill>
    <fill>
      <patternFill patternType="solid">
        <fgColor rgb="FFF5C518"/>
        <bgColor rgb="FFFF9900"/>
      </patternFill>
    </fill>
    <fill>
      <patternFill patternType="solid">
        <fgColor rgb="FF2D5FA0"/>
        <bgColor rgb="FF1565C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>
        <color rgb="FF1B3A6B"/>
      </left>
      <right style="thin">
        <color rgb="FFB0BEC5"/>
      </right>
      <top style="medium">
        <color rgb="FF1B3A6B"/>
      </top>
      <bottom style="thin">
        <color rgb="FFB0BEC5"/>
      </bottom>
      <diagonal/>
    </border>
    <border diagonalUp="false" diagonalDown="false">
      <left style="thin">
        <color rgb="FFB0BEC5"/>
      </left>
      <right style="thin">
        <color rgb="FFB0BEC5"/>
      </right>
      <top style="medium">
        <color rgb="FF1B3A6B"/>
      </top>
      <bottom style="thin">
        <color rgb="FFB0BEC5"/>
      </bottom>
      <diagonal/>
    </border>
    <border diagonalUp="false" diagonalDown="false">
      <left style="thin">
        <color rgb="FFB0BEC5"/>
      </left>
      <right style="medium">
        <color rgb="FF1B3A6B"/>
      </right>
      <top style="medium">
        <color rgb="FF1B3A6B"/>
      </top>
      <bottom style="thin">
        <color rgb="FFB0BEC5"/>
      </bottom>
      <diagonal/>
    </border>
    <border diagonalUp="false" diagonalDown="false">
      <left style="medium">
        <color rgb="FF1B3A6B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B0BEC5"/>
      </left>
      <right style="medium">
        <color rgb="FF1B3A6B"/>
      </right>
      <top style="thin">
        <color rgb="FFB0BEC5"/>
      </top>
      <bottom style="thin">
        <color rgb="FFB0BEC5"/>
      </bottom>
      <diagonal/>
    </border>
    <border diagonalUp="false" diagonalDown="false">
      <left style="medium">
        <color rgb="FF1B3A6B"/>
      </left>
      <right style="thin">
        <color rgb="FFB0BEC5"/>
      </right>
      <top style="thin">
        <color rgb="FFB0BEC5"/>
      </top>
      <bottom style="medium">
        <color rgb="FF1B3A6B"/>
      </bottom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medium">
        <color rgb="FF1B3A6B"/>
      </bottom>
      <diagonal/>
    </border>
    <border diagonalUp="false" diagonalDown="false">
      <left style="thin">
        <color rgb="FFB0BEC5"/>
      </left>
      <right style="medium">
        <color rgb="FF1B3A6B"/>
      </right>
      <top style="thin">
        <color rgb="FFB0BEC5"/>
      </top>
      <bottom style="medium">
        <color rgb="FF1B3A6B"/>
      </bottom>
      <diagonal/>
    </border>
    <border diagonalUp="false" diagonalDown="false">
      <left style="medium">
        <color rgb="FF1B3A6B"/>
      </left>
      <right style="medium">
        <color rgb="FF1B3A6B"/>
      </right>
      <top style="medium">
        <color rgb="FF1B3A6B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2D6A4F"/>
      <rgbColor rgb="FFB0BEC5"/>
      <rgbColor rgb="FF808080"/>
      <rgbColor rgb="FF9999FF"/>
      <rgbColor rgb="FF993366"/>
      <rgbColor rgb="FFFFFFCC"/>
      <rgbColor rgb="FFEBF4FB"/>
      <rgbColor rgb="FF660066"/>
      <rgbColor rgb="FFFF8080"/>
      <rgbColor rgb="FF1565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5C518"/>
      <rgbColor rgb="FFFF9900"/>
      <rgbColor rgb="FFFF6600"/>
      <rgbColor rgb="FF2D5FA0"/>
      <rgbColor rgb="FF969696"/>
      <rgbColor rgb="FF1B3A6B"/>
      <rgbColor rgb="FF339966"/>
      <rgbColor rgb="FF003300"/>
      <rgbColor rgb="FF333300"/>
      <rgbColor rgb="FFB71C1C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false"/>
  </sheetPr>
  <dimension ref="A1:A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10" min="7" style="0" width="9"/>
    <col collapsed="false" customWidth="true" hidden="false" outlineLevel="0" max="12" min="11" style="0" width="11"/>
    <col collapsed="false" customWidth="true" hidden="false" outlineLevel="0" max="14" min="13" style="0" width="10"/>
    <col collapsed="false" customWidth="true" hidden="false" outlineLevel="0" max="16" min="15" style="0" width="11"/>
    <col collapsed="false" customWidth="true" hidden="false" outlineLevel="0" max="18" min="17" style="0" width="10"/>
    <col collapsed="false" customWidth="true" hidden="false" outlineLevel="0" max="20" min="19" style="0" width="9"/>
    <col collapsed="false" customWidth="true" hidden="false" outlineLevel="0" max="21" min="21" style="0" width="10"/>
    <col collapsed="false" customWidth="true" hidden="false" outlineLevel="0" max="23" min="22" style="0" width="9"/>
    <col collapsed="false" customWidth="true" hidden="false" outlineLevel="0" max="24" min="24" style="0" width="48"/>
    <col collapsed="false" customWidth="true" hidden="false" outlineLevel="0" max="26" min="25" style="0" width="18"/>
    <col collapsed="false" customWidth="true" hidden="false" outlineLevel="0" max="27" min="27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5" t="s">
        <v>28</v>
      </c>
    </row>
    <row r="5" customFormat="false" ht="49.5" hidden="false" customHeight="true" outlineLevel="0" collapsed="false">
      <c r="A5" s="6" t="s">
        <v>29</v>
      </c>
      <c r="B5" s="7" t="s">
        <v>30</v>
      </c>
      <c r="C5" s="8" t="s">
        <v>31</v>
      </c>
      <c r="D5" s="8" t="s">
        <v>32</v>
      </c>
      <c r="E5" s="8" t="s">
        <v>33</v>
      </c>
      <c r="F5" s="8" t="s">
        <v>34</v>
      </c>
      <c r="G5" s="8" t="n">
        <v>1</v>
      </c>
      <c r="H5" s="8" t="n">
        <v>0</v>
      </c>
      <c r="I5" s="8" t="n">
        <v>0</v>
      </c>
      <c r="J5" s="8" t="n">
        <v>1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1</v>
      </c>
      <c r="R5" s="8" t="n">
        <v>1</v>
      </c>
      <c r="S5" s="8" t="n">
        <v>2</v>
      </c>
      <c r="T5" s="8" t="n">
        <v>2</v>
      </c>
      <c r="U5" s="8" t="n">
        <v>0</v>
      </c>
      <c r="V5" s="8" t="n">
        <v>0</v>
      </c>
      <c r="W5" s="8" t="n">
        <v>0</v>
      </c>
      <c r="X5" s="9" t="s">
        <v>35</v>
      </c>
      <c r="Y5" s="8" t="s">
        <v>36</v>
      </c>
      <c r="Z5" s="9" t="s">
        <v>37</v>
      </c>
      <c r="AA5" s="10" t="s">
        <v>38</v>
      </c>
    </row>
    <row r="6" customFormat="false" ht="49.5" hidden="false" customHeight="true" outlineLevel="0" collapsed="false">
      <c r="A6" s="11" t="s">
        <v>39</v>
      </c>
      <c r="B6" s="12" t="s">
        <v>40</v>
      </c>
      <c r="C6" s="13" t="s">
        <v>31</v>
      </c>
      <c r="D6" s="13" t="s">
        <v>32</v>
      </c>
      <c r="E6" s="13" t="s">
        <v>33</v>
      </c>
      <c r="F6" s="13" t="s">
        <v>34</v>
      </c>
      <c r="G6" s="13" t="n">
        <v>1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  <c r="N6" s="13" t="n">
        <v>1</v>
      </c>
      <c r="O6" s="13" t="n">
        <v>0</v>
      </c>
      <c r="P6" s="13" t="n">
        <v>0</v>
      </c>
      <c r="Q6" s="13" t="n">
        <v>1</v>
      </c>
      <c r="R6" s="13" t="n">
        <v>1</v>
      </c>
      <c r="S6" s="13" t="n">
        <v>2</v>
      </c>
      <c r="T6" s="13" t="n">
        <v>2</v>
      </c>
      <c r="U6" s="13" t="n">
        <v>0</v>
      </c>
      <c r="V6" s="13" t="n">
        <v>0</v>
      </c>
      <c r="W6" s="13" t="n">
        <v>0</v>
      </c>
      <c r="X6" s="14" t="s">
        <v>41</v>
      </c>
      <c r="Y6" s="14" t="s">
        <v>42</v>
      </c>
      <c r="Z6" s="14" t="s">
        <v>43</v>
      </c>
      <c r="AA6" s="15" t="s">
        <v>44</v>
      </c>
    </row>
    <row r="7" customFormat="false" ht="49.5" hidden="false" customHeight="true" outlineLevel="0" collapsed="false">
      <c r="A7" s="6" t="s">
        <v>45</v>
      </c>
      <c r="B7" s="7" t="s">
        <v>46</v>
      </c>
      <c r="C7" s="8" t="s">
        <v>31</v>
      </c>
      <c r="D7" s="8" t="s">
        <v>32</v>
      </c>
      <c r="E7" s="8" t="s">
        <v>47</v>
      </c>
      <c r="F7" s="8" t="s">
        <v>34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</v>
      </c>
      <c r="M7" s="8" t="n">
        <v>1</v>
      </c>
      <c r="N7" s="8" t="n">
        <v>0</v>
      </c>
      <c r="O7" s="8" t="n">
        <v>0</v>
      </c>
      <c r="P7" s="8" t="n">
        <v>0</v>
      </c>
      <c r="Q7" s="8" t="n">
        <v>1</v>
      </c>
      <c r="R7" s="8" t="n">
        <v>1</v>
      </c>
      <c r="S7" s="8" t="n">
        <v>2</v>
      </c>
      <c r="T7" s="8" t="n">
        <v>2</v>
      </c>
      <c r="U7" s="8" t="n">
        <v>0</v>
      </c>
      <c r="V7" s="8" t="n">
        <v>0</v>
      </c>
      <c r="W7" s="8" t="n">
        <v>0</v>
      </c>
      <c r="X7" s="9" t="s">
        <v>48</v>
      </c>
      <c r="Y7" s="9" t="s">
        <v>49</v>
      </c>
      <c r="Z7" s="9" t="s">
        <v>50</v>
      </c>
      <c r="AA7" s="10" t="s">
        <v>51</v>
      </c>
    </row>
    <row r="8" customFormat="false" ht="49.5" hidden="false" customHeight="true" outlineLevel="0" collapsed="false">
      <c r="A8" s="11" t="s">
        <v>52</v>
      </c>
      <c r="B8" s="12" t="s">
        <v>53</v>
      </c>
      <c r="C8" s="13" t="s">
        <v>31</v>
      </c>
      <c r="D8" s="13" t="s">
        <v>54</v>
      </c>
      <c r="E8" s="13" t="s">
        <v>33</v>
      </c>
      <c r="F8" s="13" t="s">
        <v>34</v>
      </c>
      <c r="G8" s="13" t="n">
        <v>1</v>
      </c>
      <c r="H8" s="13" t="n">
        <v>0</v>
      </c>
      <c r="I8" s="13" t="n">
        <v>0</v>
      </c>
      <c r="J8" s="13" t="n">
        <v>1</v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1</v>
      </c>
      <c r="R8" s="13" t="n">
        <v>1</v>
      </c>
      <c r="S8" s="13" t="n">
        <v>2</v>
      </c>
      <c r="T8" s="13" t="n">
        <v>2</v>
      </c>
      <c r="U8" s="13" t="n">
        <v>0</v>
      </c>
      <c r="V8" s="13" t="n">
        <v>0</v>
      </c>
      <c r="W8" s="13" t="n">
        <v>0</v>
      </c>
      <c r="X8" s="14" t="s">
        <v>55</v>
      </c>
      <c r="Y8" s="14" t="s">
        <v>56</v>
      </c>
      <c r="Z8" s="14" t="s">
        <v>57</v>
      </c>
      <c r="AA8" s="15" t="s">
        <v>58</v>
      </c>
    </row>
    <row r="9" customFormat="false" ht="49.5" hidden="false" customHeight="true" outlineLevel="0" collapsed="false">
      <c r="A9" s="6" t="s">
        <v>59</v>
      </c>
      <c r="B9" s="7" t="s">
        <v>60</v>
      </c>
      <c r="C9" s="8" t="s">
        <v>31</v>
      </c>
      <c r="D9" s="8" t="s">
        <v>54</v>
      </c>
      <c r="E9" s="8" t="s">
        <v>47</v>
      </c>
      <c r="F9" s="8" t="s">
        <v>34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1</v>
      </c>
      <c r="N9" s="8" t="n">
        <v>0</v>
      </c>
      <c r="O9" s="8" t="n">
        <v>0</v>
      </c>
      <c r="P9" s="8" t="n">
        <v>0</v>
      </c>
      <c r="Q9" s="8" t="n">
        <v>1</v>
      </c>
      <c r="R9" s="8" t="n">
        <v>0</v>
      </c>
      <c r="S9" s="8" t="n">
        <v>1</v>
      </c>
      <c r="T9" s="8" t="n">
        <v>1</v>
      </c>
      <c r="U9" s="8" t="n">
        <v>0</v>
      </c>
      <c r="V9" s="8" t="n">
        <v>0</v>
      </c>
      <c r="W9" s="8" t="n">
        <v>0</v>
      </c>
      <c r="X9" s="9" t="s">
        <v>61</v>
      </c>
      <c r="Y9" s="9" t="s">
        <v>62</v>
      </c>
      <c r="Z9" s="9" t="s">
        <v>63</v>
      </c>
      <c r="AA9" s="10" t="s">
        <v>64</v>
      </c>
    </row>
    <row r="10" customFormat="false" ht="18" hidden="false" customHeight="true" outlineLevel="0" collapsed="false">
      <c r="A10" s="16" t="s">
        <v>65</v>
      </c>
      <c r="B10" s="17" t="s">
        <v>66</v>
      </c>
      <c r="C10" s="18" t="s">
        <v>31</v>
      </c>
      <c r="D10" s="18" t="s">
        <v>31</v>
      </c>
      <c r="E10" s="18" t="s">
        <v>31</v>
      </c>
      <c r="F10" s="18" t="s">
        <v>34</v>
      </c>
      <c r="G10" s="18" t="n">
        <f aca="false">SUM(G5:G9)</f>
        <v>3</v>
      </c>
      <c r="H10" s="18" t="n">
        <f aca="false">SUM(H5:H9)</f>
        <v>0</v>
      </c>
      <c r="I10" s="18" t="n">
        <f aca="false">SUM(I5:I9)</f>
        <v>0</v>
      </c>
      <c r="J10" s="18" t="n">
        <f aca="false">SUM(J5:J9)</f>
        <v>2</v>
      </c>
      <c r="K10" s="18" t="n">
        <f aca="false">SUM(K5:K9)</f>
        <v>0</v>
      </c>
      <c r="L10" s="18" t="n">
        <f aca="false">SUM(L5:L9)</f>
        <v>1</v>
      </c>
      <c r="M10" s="18" t="n">
        <f aca="false">SUM(M5:M9)</f>
        <v>2</v>
      </c>
      <c r="N10" s="18" t="n">
        <f aca="false">SUM(N5:N9)</f>
        <v>1</v>
      </c>
      <c r="O10" s="18" t="n">
        <f aca="false">SUM(O5:O9)</f>
        <v>0</v>
      </c>
      <c r="P10" s="18" t="n">
        <f aca="false">SUM(P5:P9)</f>
        <v>0</v>
      </c>
      <c r="Q10" s="18" t="n">
        <f aca="false">SUM(Q5:Q9)</f>
        <v>5</v>
      </c>
      <c r="R10" s="18" t="n">
        <f aca="false">SUM(R5:R9)</f>
        <v>4</v>
      </c>
      <c r="S10" s="18" t="n">
        <f aca="false">SUM(S5:S9)</f>
        <v>9</v>
      </c>
      <c r="T10" s="18" t="n">
        <f aca="false">SUM(T5:T9)</f>
        <v>9</v>
      </c>
      <c r="U10" s="18" t="n">
        <f aca="false">SUM(U5:U9)</f>
        <v>0</v>
      </c>
      <c r="V10" s="18" t="n">
        <f aca="false">SUM(V5:V9)</f>
        <v>0</v>
      </c>
      <c r="W10" s="18" t="n">
        <f aca="false">SUM(W5:W9)</f>
        <v>0</v>
      </c>
      <c r="X10" s="18" t="s">
        <v>31</v>
      </c>
      <c r="Y10" s="18" t="s">
        <v>31</v>
      </c>
      <c r="Z10" s="18" t="s">
        <v>31</v>
      </c>
      <c r="AA10" s="19" t="s">
        <v>31</v>
      </c>
    </row>
    <row r="12" customFormat="false" ht="18" hidden="false" customHeight="true" outlineLevel="0" collapsed="false">
      <c r="A12" s="20" t="s">
        <v>67</v>
      </c>
      <c r="B12" s="20"/>
      <c r="C12" s="20"/>
    </row>
    <row r="13" customFormat="false" ht="18" hidden="false" customHeight="true" outlineLevel="0" collapsed="false">
      <c r="A13" s="21" t="s">
        <v>68</v>
      </c>
      <c r="B13" s="22" t="s">
        <v>69</v>
      </c>
      <c r="C13" s="23" t="s">
        <v>70</v>
      </c>
    </row>
    <row r="14" customFormat="false" ht="15" hidden="false" customHeight="true" outlineLevel="0" collapsed="false">
      <c r="A14" s="6" t="s">
        <v>71</v>
      </c>
      <c r="B14" s="8" t="n">
        <f aca="false">COUNTA(A5:A9)</f>
        <v>5</v>
      </c>
      <c r="C14" s="24" t="n">
        <f aca="false">COUNTA(A5:A9)</f>
        <v>5</v>
      </c>
    </row>
    <row r="15" customFormat="false" ht="15" hidden="false" customHeight="true" outlineLevel="0" collapsed="false">
      <c r="A15" s="11" t="s">
        <v>72</v>
      </c>
      <c r="B15" s="13" t="n">
        <f aca="false">COUNTIF(D5:D9,"Public")</f>
        <v>3</v>
      </c>
      <c r="C15" s="25" t="n">
        <f aca="false">COUNTIF(D5:D9,"Public")</f>
        <v>3</v>
      </c>
    </row>
    <row r="16" customFormat="false" ht="15" hidden="false" customHeight="true" outlineLevel="0" collapsed="false">
      <c r="A16" s="6" t="s">
        <v>73</v>
      </c>
      <c r="B16" s="8" t="n">
        <f aca="false">COUNTIF(D5:D9,"Private")</f>
        <v>2</v>
      </c>
      <c r="C16" s="24" t="n">
        <f aca="false">COUNTIF(D5:D9,"Private")</f>
        <v>2</v>
      </c>
    </row>
    <row r="17" customFormat="false" ht="15" hidden="false" customHeight="true" outlineLevel="0" collapsed="false">
      <c r="A17" s="11" t="s">
        <v>74</v>
      </c>
      <c r="B17" s="13" t="n">
        <f aca="false">COUNTIF(E5:E9,"Elementary")</f>
        <v>3</v>
      </c>
      <c r="C17" s="25" t="n">
        <f aca="false">COUNTIF(E5:E9,"Elementary")</f>
        <v>3</v>
      </c>
    </row>
    <row r="18" customFormat="false" ht="15" hidden="false" customHeight="true" outlineLevel="0" collapsed="false">
      <c r="A18" s="6" t="s">
        <v>75</v>
      </c>
      <c r="B18" s="8" t="n">
        <f aca="false">COUNTIF(E5:E9,"Secondary")</f>
        <v>2</v>
      </c>
      <c r="C18" s="24" t="n">
        <f aca="false">COUNTIF(E5:E9,"Secondary")</f>
        <v>2</v>
      </c>
    </row>
    <row r="19" customFormat="false" ht="15" hidden="false" customHeight="true" outlineLevel="0" collapsed="false">
      <c r="A19" s="11" t="s">
        <v>76</v>
      </c>
      <c r="B19" s="13" t="n">
        <f aca="false">SUM(S5:S9)</f>
        <v>9</v>
      </c>
      <c r="C19" s="25" t="n">
        <f aca="false">SUM(S5:S9)</f>
        <v>9</v>
      </c>
    </row>
    <row r="20" customFormat="false" ht="15" hidden="false" customHeight="true" outlineLevel="0" collapsed="false">
      <c r="A20" s="6" t="s">
        <v>77</v>
      </c>
      <c r="B20" s="8" t="n">
        <f aca="false">SUMIFS(S5:S9,D5:D9,"Private")</f>
        <v>3</v>
      </c>
      <c r="C20" s="24" t="n">
        <f aca="false">SUMIFS(S5:S9,D5:D9,"Private")</f>
        <v>3</v>
      </c>
    </row>
    <row r="21" customFormat="false" ht="15" hidden="false" customHeight="true" outlineLevel="0" collapsed="false">
      <c r="A21" s="11" t="s">
        <v>78</v>
      </c>
      <c r="B21" s="13" t="n">
        <f aca="false">SUMIFS(T5:T9,D5:D9,"Private")</f>
        <v>3</v>
      </c>
      <c r="C21" s="25" t="n">
        <f aca="false">SUMIFS(T5:T9,D5:D9,"Private")</f>
        <v>3</v>
      </c>
    </row>
    <row r="22" customFormat="false" ht="15" hidden="false" customHeight="true" outlineLevel="0" collapsed="false">
      <c r="A22" s="26" t="s">
        <v>79</v>
      </c>
      <c r="B22" s="27" t="str">
        <f aca="false">IFERROR(ROUND(SUM(T5:T9)/SUM(S5:S9)*100,1)&amp;"%","N/A")</f>
        <v>100%</v>
      </c>
      <c r="C22" s="28" t="str">
        <f aca="false">IFERROR(ROUND(SUM(T5:T9)/SUM(S5:S9)*100,1)&amp;"%","N/A")</f>
        <v>100%</v>
      </c>
    </row>
  </sheetData>
  <mergeCells count="3">
    <mergeCell ref="A1:AA1"/>
    <mergeCell ref="A2:AA2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S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7" min="5" style="0" width="11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1" min="11" style="0" width="15"/>
    <col collapsed="false" customWidth="true" hidden="false" outlineLevel="0" max="13" min="12" style="0" width="9"/>
    <col collapsed="false" customWidth="true" hidden="false" outlineLevel="0" max="15" min="14" style="0" width="10"/>
    <col collapsed="false" customWidth="true" hidden="false" outlineLevel="0" max="16" min="16" style="0" width="48"/>
    <col collapsed="false" customWidth="true" hidden="false" outlineLevel="0" max="18" min="17" style="0" width="18"/>
    <col collapsed="false" customWidth="true" hidden="false" outlineLevel="0" max="19" min="19" style="0" width="14"/>
  </cols>
  <sheetData>
    <row r="1" customFormat="false" ht="27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8" hidden="false" customHeight="true" outlineLevel="0" collapsed="false">
      <c r="A2" s="2" t="s">
        <v>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82</v>
      </c>
      <c r="H4" s="4" t="s">
        <v>83</v>
      </c>
      <c r="I4" s="4" t="s">
        <v>84</v>
      </c>
      <c r="J4" s="4" t="s">
        <v>85</v>
      </c>
      <c r="K4" s="4" t="s">
        <v>86</v>
      </c>
      <c r="L4" s="4" t="s">
        <v>20</v>
      </c>
      <c r="M4" s="4" t="s">
        <v>21</v>
      </c>
      <c r="N4" s="4" t="s">
        <v>22</v>
      </c>
      <c r="O4" s="4" t="s">
        <v>23</v>
      </c>
      <c r="P4" s="4" t="s">
        <v>87</v>
      </c>
      <c r="Q4" s="4" t="s">
        <v>26</v>
      </c>
      <c r="R4" s="4" t="s">
        <v>27</v>
      </c>
      <c r="S4" s="5" t="s">
        <v>28</v>
      </c>
    </row>
    <row r="5" customFormat="false" ht="39.75" hidden="false" customHeight="true" outlineLevel="0" collapsed="false">
      <c r="A5" s="6" t="s">
        <v>88</v>
      </c>
      <c r="B5" s="7" t="s">
        <v>89</v>
      </c>
      <c r="C5" s="8" t="s">
        <v>31</v>
      </c>
      <c r="D5" s="8" t="s">
        <v>32</v>
      </c>
      <c r="E5" s="8" t="s">
        <v>33</v>
      </c>
      <c r="F5" s="8" t="s">
        <v>34</v>
      </c>
      <c r="G5" s="8" t="n">
        <v>1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1</v>
      </c>
      <c r="M5" s="8" t="n">
        <v>1</v>
      </c>
      <c r="N5" s="8" t="n">
        <v>0</v>
      </c>
      <c r="O5" s="8" t="n">
        <v>0</v>
      </c>
      <c r="P5" s="9" t="s">
        <v>90</v>
      </c>
      <c r="Q5" s="9" t="s">
        <v>91</v>
      </c>
      <c r="R5" s="9" t="s">
        <v>92</v>
      </c>
      <c r="S5" s="10" t="s">
        <v>93</v>
      </c>
    </row>
    <row r="6" customFormat="false" ht="39.75" hidden="false" customHeight="true" outlineLevel="0" collapsed="false">
      <c r="A6" s="11" t="s">
        <v>94</v>
      </c>
      <c r="B6" s="12" t="s">
        <v>95</v>
      </c>
      <c r="C6" s="13" t="s">
        <v>31</v>
      </c>
      <c r="D6" s="13" t="s">
        <v>54</v>
      </c>
      <c r="E6" s="13" t="s">
        <v>47</v>
      </c>
      <c r="F6" s="13" t="s">
        <v>34</v>
      </c>
      <c r="G6" s="13" t="n">
        <v>1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1</v>
      </c>
      <c r="M6" s="13" t="n">
        <v>1</v>
      </c>
      <c r="N6" s="13" t="n">
        <v>0</v>
      </c>
      <c r="O6" s="13" t="n">
        <v>0</v>
      </c>
      <c r="P6" s="14" t="s">
        <v>96</v>
      </c>
      <c r="Q6" s="14" t="s">
        <v>97</v>
      </c>
      <c r="R6" s="14" t="s">
        <v>98</v>
      </c>
      <c r="S6" s="15" t="s">
        <v>99</v>
      </c>
    </row>
    <row r="7" customFormat="false" ht="18" hidden="false" customHeight="true" outlineLevel="0" collapsed="false">
      <c r="A7" s="16" t="s">
        <v>65</v>
      </c>
      <c r="B7" s="17" t="s">
        <v>66</v>
      </c>
      <c r="C7" s="18" t="s">
        <v>31</v>
      </c>
      <c r="D7" s="18" t="s">
        <v>31</v>
      </c>
      <c r="E7" s="18" t="s">
        <v>31</v>
      </c>
      <c r="F7" s="18" t="s">
        <v>34</v>
      </c>
      <c r="G7" s="18" t="n">
        <f aca="false">SUM(G5:G6)</f>
        <v>2</v>
      </c>
      <c r="H7" s="18" t="n">
        <f aca="false">SUM(H5:H6)</f>
        <v>0</v>
      </c>
      <c r="I7" s="18" t="n">
        <f aca="false">SUM(I5:I6)</f>
        <v>0</v>
      </c>
      <c r="J7" s="18" t="n">
        <f aca="false">SUM(J5:J6)</f>
        <v>0</v>
      </c>
      <c r="K7" s="18" t="n">
        <f aca="false">SUM(K5:K6)</f>
        <v>0</v>
      </c>
      <c r="L7" s="18" t="n">
        <f aca="false">SUM(L5:L6)</f>
        <v>2</v>
      </c>
      <c r="M7" s="18" t="n">
        <f aca="false">SUM(M5:M6)</f>
        <v>2</v>
      </c>
      <c r="N7" s="18" t="n">
        <f aca="false">SUM(N5:N6)</f>
        <v>0</v>
      </c>
      <c r="O7" s="18" t="n">
        <f aca="false">SUM(O5:O6)</f>
        <v>0</v>
      </c>
      <c r="P7" s="18" t="s">
        <v>31</v>
      </c>
      <c r="Q7" s="18" t="s">
        <v>31</v>
      </c>
      <c r="R7" s="18" t="s">
        <v>31</v>
      </c>
      <c r="S7" s="19" t="s">
        <v>31</v>
      </c>
    </row>
  </sheetData>
  <mergeCells count="2">
    <mergeCell ref="A1:S1"/>
    <mergeCell ref="A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55"/>
    <col collapsed="false" customWidth="true" hidden="false" outlineLevel="0" max="12" min="11" style="0" width="18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102</v>
      </c>
      <c r="H4" s="4" t="s">
        <v>21</v>
      </c>
      <c r="I4" s="4" t="s">
        <v>22</v>
      </c>
      <c r="J4" s="4" t="s">
        <v>103</v>
      </c>
      <c r="K4" s="4" t="s">
        <v>26</v>
      </c>
      <c r="L4" s="4" t="s">
        <v>27</v>
      </c>
      <c r="M4" s="5" t="s">
        <v>28</v>
      </c>
    </row>
    <row r="5" customFormat="false" ht="45" hidden="false" customHeight="true" outlineLevel="0" collapsed="false">
      <c r="A5" s="6" t="s">
        <v>104</v>
      </c>
      <c r="B5" s="7" t="s">
        <v>105</v>
      </c>
      <c r="C5" s="8" t="s">
        <v>31</v>
      </c>
      <c r="D5" s="8" t="s">
        <v>32</v>
      </c>
      <c r="E5" s="8" t="s">
        <v>33</v>
      </c>
      <c r="F5" s="8" t="s">
        <v>34</v>
      </c>
      <c r="G5" s="8" t="n">
        <v>2</v>
      </c>
      <c r="H5" s="8" t="n">
        <v>2</v>
      </c>
      <c r="I5" s="8" t="n">
        <v>0</v>
      </c>
      <c r="J5" s="9" t="s">
        <v>106</v>
      </c>
      <c r="K5" s="9" t="s">
        <v>107</v>
      </c>
      <c r="L5" s="9" t="s">
        <v>108</v>
      </c>
      <c r="M5" s="10" t="s">
        <v>109</v>
      </c>
    </row>
    <row r="6" customFormat="false" ht="18" hidden="false" customHeight="true" outlineLevel="0" collapsed="false">
      <c r="A6" s="16" t="s">
        <v>65</v>
      </c>
      <c r="B6" s="17" t="s">
        <v>66</v>
      </c>
      <c r="C6" s="18" t="s">
        <v>31</v>
      </c>
      <c r="D6" s="18" t="s">
        <v>31</v>
      </c>
      <c r="E6" s="18" t="s">
        <v>31</v>
      </c>
      <c r="F6" s="18" t="s">
        <v>34</v>
      </c>
      <c r="G6" s="18" t="n">
        <f aca="false">SUM(G5:G5)</f>
        <v>2</v>
      </c>
      <c r="H6" s="18" t="n">
        <f aca="false">SUM(H5:H5)</f>
        <v>2</v>
      </c>
      <c r="I6" s="18" t="n">
        <f aca="false">SUM(I5:I5)</f>
        <v>0</v>
      </c>
      <c r="J6" s="18" t="s">
        <v>31</v>
      </c>
      <c r="K6" s="18" t="s">
        <v>31</v>
      </c>
      <c r="L6" s="18" t="s">
        <v>31</v>
      </c>
      <c r="M6" s="19" t="s">
        <v>31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55"/>
    <col collapsed="false" customWidth="true" hidden="false" outlineLevel="0" max="11" min="10" style="0" width="18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112</v>
      </c>
      <c r="H4" s="4" t="s">
        <v>113</v>
      </c>
      <c r="I4" s="4" t="s">
        <v>114</v>
      </c>
      <c r="J4" s="4" t="s">
        <v>26</v>
      </c>
      <c r="K4" s="4" t="s">
        <v>27</v>
      </c>
      <c r="L4" s="5" t="s">
        <v>28</v>
      </c>
    </row>
    <row r="5" customFormat="false" ht="39.75" hidden="false" customHeight="true" outlineLevel="0" collapsed="false">
      <c r="A5" s="6" t="s">
        <v>115</v>
      </c>
      <c r="B5" s="7" t="s">
        <v>116</v>
      </c>
      <c r="C5" s="8" t="s">
        <v>31</v>
      </c>
      <c r="D5" s="8" t="s">
        <v>32</v>
      </c>
      <c r="E5" s="8" t="s">
        <v>47</v>
      </c>
      <c r="F5" s="8" t="s">
        <v>34</v>
      </c>
      <c r="G5" s="8" t="n">
        <v>2</v>
      </c>
      <c r="H5" s="8" t="n">
        <v>2</v>
      </c>
      <c r="I5" s="9" t="s">
        <v>117</v>
      </c>
      <c r="J5" s="9" t="s">
        <v>118</v>
      </c>
      <c r="K5" s="9" t="s">
        <v>119</v>
      </c>
      <c r="L5" s="10" t="s">
        <v>120</v>
      </c>
    </row>
    <row r="6" customFormat="false" ht="18" hidden="false" customHeight="true" outlineLevel="0" collapsed="false">
      <c r="A6" s="16" t="s">
        <v>65</v>
      </c>
      <c r="B6" s="17" t="s">
        <v>66</v>
      </c>
      <c r="C6" s="18" t="s">
        <v>31</v>
      </c>
      <c r="D6" s="18" t="s">
        <v>31</v>
      </c>
      <c r="E6" s="18" t="s">
        <v>31</v>
      </c>
      <c r="F6" s="18" t="s">
        <v>34</v>
      </c>
      <c r="G6" s="18" t="n">
        <f aca="false">SUM(G5:G5)</f>
        <v>2</v>
      </c>
      <c r="H6" s="18" t="n">
        <f aca="false">SUM(H5:H5)</f>
        <v>2</v>
      </c>
      <c r="I6" s="18" t="s">
        <v>31</v>
      </c>
      <c r="J6" s="18" t="s">
        <v>31</v>
      </c>
      <c r="K6" s="18" t="s">
        <v>31</v>
      </c>
      <c r="L6" s="19" t="s">
        <v>31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4"/>
    <col collapsed="false" customWidth="true" hidden="false" outlineLevel="0" max="8" min="8" style="0" width="55"/>
    <col collapsed="false" customWidth="true" hidden="false" outlineLevel="0" max="10" min="9" style="0" width="18"/>
    <col collapsed="false" customWidth="true" hidden="false" outlineLevel="0" max="11" min="11" style="0" width="14"/>
  </cols>
  <sheetData>
    <row r="1" customFormat="false" ht="27.75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123</v>
      </c>
      <c r="H4" s="4" t="s">
        <v>124</v>
      </c>
      <c r="I4" s="4" t="s">
        <v>26</v>
      </c>
      <c r="J4" s="4" t="s">
        <v>27</v>
      </c>
      <c r="K4" s="5" t="s">
        <v>28</v>
      </c>
    </row>
    <row r="5" customFormat="false" ht="34.5" hidden="false" customHeight="true" outlineLevel="0" collapsed="false">
      <c r="A5" s="6" t="s">
        <v>125</v>
      </c>
      <c r="B5" s="7" t="s">
        <v>126</v>
      </c>
      <c r="C5" s="8" t="s">
        <v>31</v>
      </c>
      <c r="D5" s="8" t="s">
        <v>32</v>
      </c>
      <c r="E5" s="8" t="s">
        <v>47</v>
      </c>
      <c r="F5" s="8" t="s">
        <v>34</v>
      </c>
      <c r="G5" s="8" t="n">
        <v>2</v>
      </c>
      <c r="H5" s="9" t="s">
        <v>127</v>
      </c>
      <c r="I5" s="9" t="s">
        <v>128</v>
      </c>
      <c r="J5" s="9" t="s">
        <v>129</v>
      </c>
      <c r="K5" s="10" t="s">
        <v>130</v>
      </c>
    </row>
    <row r="6" customFormat="false" ht="18" hidden="false" customHeight="true" outlineLevel="0" collapsed="false">
      <c r="A6" s="16" t="s">
        <v>65</v>
      </c>
      <c r="B6" s="17" t="s">
        <v>66</v>
      </c>
      <c r="C6" s="18" t="s">
        <v>31</v>
      </c>
      <c r="D6" s="18" t="s">
        <v>31</v>
      </c>
      <c r="E6" s="18" t="s">
        <v>31</v>
      </c>
      <c r="F6" s="18" t="s">
        <v>34</v>
      </c>
      <c r="G6" s="18" t="n">
        <f aca="false">SUM(G5:G5)</f>
        <v>2</v>
      </c>
      <c r="H6" s="18" t="s">
        <v>31</v>
      </c>
      <c r="I6" s="18" t="s">
        <v>31</v>
      </c>
      <c r="J6" s="18" t="s">
        <v>31</v>
      </c>
      <c r="K6" s="19" t="s">
        <v>31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2026-08-23T13:32:38Z</dcterms:created>
  <dc:creator>openpyxl</dc:creator>
  <dc:description/>
  <dc:language>en-US</dc:language>
  <cp:lastModifiedBy/>
  <dcterms:modified xsi:type="dcterms:W3CDTF">2026-08-23T13:32:38Z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